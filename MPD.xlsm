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en_skoroszyt"/>
  <mc:AlternateContent xmlns:mc="http://schemas.openxmlformats.org/markup-compatibility/2006">
    <mc:Choice Requires="x15">
      <x15ac:absPath xmlns:x15ac="http://schemas.microsoft.com/office/spreadsheetml/2010/11/ac" url="G:\Mój dysk\Git\Local\MPD\"/>
    </mc:Choice>
  </mc:AlternateContent>
  <xr:revisionPtr revIDLastSave="0" documentId="13_ncr:1_{E5DC6805-0ECB-4B31-9946-23F4E6363DD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STA ZADAŃ" sheetId="1" r:id="rId1"/>
    <sheet name="USTAWIENIA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1" i="1"/>
  <c r="F4" i="1"/>
  <c r="F5" i="1"/>
  <c r="F6" i="1"/>
  <c r="F7" i="1"/>
  <c r="F1" i="1" l="1"/>
</calcChain>
</file>

<file path=xl/sharedStrings.xml><?xml version="1.0" encoding="utf-8"?>
<sst xmlns="http://schemas.openxmlformats.org/spreadsheetml/2006/main" count="34" uniqueCount="29">
  <si>
    <t>ZADANIE</t>
  </si>
  <si>
    <t>STATUS</t>
  </si>
  <si>
    <t>OPIS ZADANIA</t>
  </si>
  <si>
    <t>OCZEKUJĄCE</t>
  </si>
  <si>
    <t>W TRAKCIE</t>
  </si>
  <si>
    <t>ZROBIONE</t>
  </si>
  <si>
    <t>ODŁOŻONE</t>
  </si>
  <si>
    <t>NIEWYKONANE</t>
  </si>
  <si>
    <t>INNY DZIEŃ</t>
  </si>
  <si>
    <t>KONTYNUACJA</t>
  </si>
  <si>
    <t>DATA</t>
  </si>
  <si>
    <t>Pamiętaj pamiętać, bo pamięć to rzecz święta.</t>
  </si>
  <si>
    <t>Lista zadań do wykonania</t>
  </si>
  <si>
    <t>AUTOR: Piotr Kazimierz Bodych</t>
  </si>
  <si>
    <t>Istnieją zwycięzcy, których wygrana składa się z samych porażek; istnieją zwycięzcy, którzy nie tylko nigdy nie walczyli, ale nawet nie chcieli walczyć, którzy wyrzekli się zwycięstw; to ci, którzy noszą numer zero albo nieskończoność. – Bohumil Hrabal, Kim jestem</t>
  </si>
  <si>
    <t>Python</t>
  </si>
  <si>
    <t>Trening</t>
  </si>
  <si>
    <t>Microsoft Excel</t>
  </si>
  <si>
    <t>Polish Peter Technology S.A.</t>
  </si>
  <si>
    <t>Matematyka</t>
  </si>
  <si>
    <t>Asystent Głosowy</t>
  </si>
  <si>
    <t>CZAS</t>
  </si>
  <si>
    <t>Czytanie książki pt. "PYTHON dla testera" - Piotr Wróblewski.</t>
  </si>
  <si>
    <t>Trening fizyczny - brzuch, nogi, plecy.</t>
  </si>
  <si>
    <t>Praca nad projektem "MPD".</t>
  </si>
  <si>
    <t>Przygotowanie do matury.</t>
  </si>
  <si>
    <t>Praca nad projektem "Voice Assistance".</t>
  </si>
  <si>
    <t>PUNKTY</t>
  </si>
  <si>
    <r>
      <t>POLPI</t>
    </r>
    <r>
      <rPr>
        <b/>
        <sz val="31"/>
        <color rgb="FFC00000"/>
        <rFont val="Algerian"/>
        <family val="5"/>
      </rPr>
      <t>OTECH</t>
    </r>
    <r>
      <rPr>
        <b/>
        <sz val="31"/>
        <color theme="9" tint="-0.499984740745262"/>
        <rFont val="Algerian"/>
        <family val="5"/>
      </rPr>
      <t>®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</si>
</sst>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General\&quot;"/>
    <numFmt numFmtId="165" formatCode="General\ \p\k\t"/>
    <numFmt numFmtId="166" formatCode="General\ \h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b/>
      <sz val="14"/>
      <color rgb="FF002060"/>
      <name val="Calibri"/>
      <family val="2"/>
      <charset val="238"/>
      <scheme val="minor"/>
    </font>
    <font>
      <b/>
      <i/>
      <sz val="14"/>
      <color rgb="FF002060"/>
      <name val="Calibri"/>
      <family val="2"/>
      <charset val="238"/>
      <scheme val="minor"/>
    </font>
    <font>
      <b/>
      <sz val="18"/>
      <color theme="0"/>
      <name val="Sitka Small"/>
      <charset val="238"/>
    </font>
    <font>
      <b/>
      <sz val="12"/>
      <color rgb="FF000000"/>
      <name val="Calibri"/>
      <family val="2"/>
      <charset val="238"/>
    </font>
    <font>
      <b/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i/>
      <sz val="14"/>
      <color theme="1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sz val="31"/>
      <color theme="0"/>
      <name val="Algerian"/>
      <family val="5"/>
    </font>
    <font>
      <b/>
      <sz val="31"/>
      <color rgb="FFC00000"/>
      <name val="Algerian"/>
      <family val="5"/>
    </font>
    <font>
      <b/>
      <sz val="31"/>
      <color theme="9" tint="-0.499984740745262"/>
      <name val="Algerian"/>
      <family val="5"/>
    </font>
    <font>
      <sz val="17"/>
      <color rgb="FFFFC000"/>
      <name val="Bahnschrift SemiLight Condensed"/>
      <family val="2"/>
      <charset val="238"/>
    </font>
    <font>
      <b/>
      <sz val="11"/>
      <color rgb="FFFFC000"/>
      <name val="Century"/>
      <family val="1"/>
      <charset val="238"/>
    </font>
    <font>
      <i/>
      <sz val="11"/>
      <color rgb="FFFFC000"/>
      <name val="Century"/>
      <family val="1"/>
      <charset val="238"/>
    </font>
    <font>
      <b/>
      <sz val="14"/>
      <color rgb="FFFFC00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2" borderId="1" xfId="0" applyFont="1" applyFill="1" applyBorder="1" applyAlignment="1" applyProtection="1">
      <alignment horizontal="center" vertical="center"/>
      <protection hidden="1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164" fontId="10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/>
      <protection hidden="1"/>
    </xf>
    <xf numFmtId="0" fontId="15" fillId="6" borderId="1" xfId="0" applyFont="1" applyFill="1" applyBorder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center" vertical="center"/>
      <protection hidden="1"/>
    </xf>
    <xf numFmtId="0" fontId="5" fillId="4" borderId="2" xfId="0" applyFont="1" applyFill="1" applyBorder="1" applyAlignment="1" applyProtection="1">
      <alignment horizontal="center"/>
      <protection hidden="1"/>
    </xf>
    <xf numFmtId="0" fontId="5" fillId="4" borderId="4" xfId="0" applyFont="1" applyFill="1" applyBorder="1" applyAlignment="1" applyProtection="1">
      <alignment horizontal="center"/>
      <protection hidden="1"/>
    </xf>
    <xf numFmtId="0" fontId="5" fillId="4" borderId="3" xfId="0" applyFont="1" applyFill="1" applyBorder="1" applyAlignment="1" applyProtection="1">
      <alignment horizontal="center"/>
      <protection hidden="1"/>
    </xf>
    <xf numFmtId="0" fontId="7" fillId="5" borderId="1" xfId="0" applyFont="1" applyFill="1" applyBorder="1" applyAlignment="1" applyProtection="1">
      <alignment horizontal="center" vertical="center" wrapText="1"/>
      <protection hidden="1"/>
    </xf>
    <xf numFmtId="0" fontId="11" fillId="5" borderId="1" xfId="0" applyFont="1" applyFill="1" applyBorder="1" applyAlignment="1" applyProtection="1">
      <alignment horizontal="left" vertical="center" indent="13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14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0" fillId="0" borderId="0" xfId="0" applyBorder="1" applyProtection="1">
      <protection locked="0"/>
    </xf>
    <xf numFmtId="10" fontId="17" fillId="6" borderId="1" xfId="0" applyNumberFormat="1" applyFont="1" applyFill="1" applyBorder="1" applyAlignment="1">
      <alignment horizontal="center" vertical="center"/>
    </xf>
    <xf numFmtId="166" fontId="17" fillId="6" borderId="1" xfId="0" applyNumberFormat="1" applyFont="1" applyFill="1" applyBorder="1" applyAlignment="1" applyProtection="1">
      <alignment horizontal="center" vertical="center"/>
      <protection hidden="1"/>
    </xf>
  </cellXfs>
  <cellStyles count="1">
    <cellStyle name="Normalny" xfId="0" builtinId="0"/>
  </cellStyles>
  <dxfs count="7">
    <dxf>
      <font>
        <color theme="0"/>
      </font>
      <numFmt numFmtId="30" formatCode="@"/>
      <fill>
        <patternFill>
          <bgColor rgb="FF7030A0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D60093"/>
        </patternFill>
      </fill>
    </dxf>
  </dxfs>
  <tableStyles count="0" defaultTableStyle="TableStyleMedium2" defaultPivotStyle="PivotStyleLight16"/>
  <colors>
    <mruColors>
      <color rgb="FFD6009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4589965</xdr:colOff>
          <xdr:row>7</xdr:row>
          <xdr:rowOff>177807</xdr:rowOff>
        </xdr:from>
        <xdr:to>
          <xdr:col>5</xdr:col>
          <xdr:colOff>731281</xdr:colOff>
          <xdr:row>7</xdr:row>
          <xdr:rowOff>433915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676190" y="2206632"/>
              <a:ext cx="3799416" cy="256108"/>
              <a:chOff x="240240" y="2400306"/>
              <a:chExt cx="3707349" cy="340777"/>
            </a:xfrm>
          </xdr:grpSpPr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1193405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USUŃ</a:t>
                </a:r>
              </a:p>
            </xdr:txBody>
          </xdr:sp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2156214" y="2400306"/>
                <a:ext cx="828565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ZAPISZ</a:t>
                </a:r>
              </a:p>
            </xdr:txBody>
          </xdr:sp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000-000012080000}"/>
                  </a:ext>
                </a:extLst>
              </xdr:cNvPr>
              <xdr:cNvSpPr/>
            </xdr:nvSpPr>
            <xdr:spPr bwMode="auto">
              <a:xfrm>
                <a:off x="3119022" y="2400306"/>
                <a:ext cx="828567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WYJDŹ</a:t>
                </a:r>
              </a:p>
            </xdr:txBody>
          </xdr:sp>
          <xdr:sp macro="" textlink="">
            <xdr:nvSpPr>
              <xdr:cNvPr id="2075" name="Button 27" hidden="1">
                <a:extLst>
                  <a:ext uri="{63B3BB69-23CF-44E3-9099-C40C66FF867C}">
                    <a14:compatExt spid="_x0000_s2075"/>
                  </a:ext>
                  <a:ext uri="{FF2B5EF4-FFF2-40B4-BE49-F238E27FC236}">
                    <a16:creationId xmlns:a16="http://schemas.microsoft.com/office/drawing/2014/main" id="{00000000-0008-0000-0000-00001B080000}"/>
                  </a:ext>
                </a:extLst>
              </xdr:cNvPr>
              <xdr:cNvSpPr/>
            </xdr:nvSpPr>
            <xdr:spPr bwMode="auto">
              <a:xfrm>
                <a:off x="240240" y="2400306"/>
                <a:ext cx="818921" cy="3407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l-PL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NOWY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0</xdr:col>
      <xdr:colOff>9525</xdr:colOff>
      <xdr:row>7</xdr:row>
      <xdr:rowOff>9525</xdr:rowOff>
    </xdr:from>
    <xdr:to>
      <xdr:col>3</xdr:col>
      <xdr:colOff>180974</xdr:colOff>
      <xdr:row>9</xdr:row>
      <xdr:rowOff>0</xdr:rowOff>
    </xdr:to>
    <xdr:pic>
      <xdr:nvPicPr>
        <xdr:cNvPr id="12" name="Obraz 11" descr="Duchowość świadomość Wszechświat Prana Bóg Reiki Medytacja Duchowy Umysł  Energia Czakry Zen Joga | Zdjęcie Premium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038350"/>
          <a:ext cx="4257674" cy="1600200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31"/>
  <sheetViews>
    <sheetView tabSelected="1" zoomScaleNormal="100" workbookViewId="0">
      <selection activeCell="D9" sqref="D9:F9"/>
    </sheetView>
  </sheetViews>
  <sheetFormatPr defaultRowHeight="15" x14ac:dyDescent="0.25"/>
  <cols>
    <col min="1" max="1" width="15.5703125" style="19" bestFit="1" customWidth="1"/>
    <col min="2" max="2" width="27.42578125" style="19" customWidth="1"/>
    <col min="3" max="3" width="18.28515625" style="19" customWidth="1"/>
    <col min="4" max="4" width="100.7109375" style="19" customWidth="1"/>
    <col min="5" max="5" width="14.140625" style="19" customWidth="1"/>
    <col min="6" max="6" width="12.85546875" style="19" customWidth="1"/>
    <col min="7" max="7" width="9.140625" style="19"/>
    <col min="8" max="8" width="23.140625" style="19" customWidth="1"/>
    <col min="9" max="16384" width="9.140625" style="19"/>
  </cols>
  <sheetData>
    <row r="1" spans="1:13" ht="38.25" customHeight="1" thickTop="1" thickBot="1" x14ac:dyDescent="0.65">
      <c r="A1" s="12" t="s">
        <v>12</v>
      </c>
      <c r="B1" s="13"/>
      <c r="C1" s="13"/>
      <c r="D1" s="14"/>
      <c r="E1" s="22">
        <f>SUM(E3:E7)/60</f>
        <v>8</v>
      </c>
      <c r="F1" s="21">
        <f>AVERAGEA(F3:F7)</f>
        <v>0.2</v>
      </c>
    </row>
    <row r="2" spans="1:13" ht="20.25" thickTop="1" thickBot="1" x14ac:dyDescent="0.3">
      <c r="A2" s="1" t="s">
        <v>10</v>
      </c>
      <c r="B2" s="1" t="s">
        <v>0</v>
      </c>
      <c r="C2" s="1" t="s">
        <v>1</v>
      </c>
      <c r="D2" s="1" t="s">
        <v>2</v>
      </c>
      <c r="E2" s="1" t="s">
        <v>21</v>
      </c>
      <c r="F2" s="1" t="s">
        <v>27</v>
      </c>
    </row>
    <row r="3" spans="1:13" s="20" customFormat="1" ht="20.25" thickTop="1" thickBot="1" x14ac:dyDescent="0.3">
      <c r="A3" s="2">
        <v>45184</v>
      </c>
      <c r="B3" s="4" t="s">
        <v>15</v>
      </c>
      <c r="C3" s="3" t="s">
        <v>3</v>
      </c>
      <c r="D3" s="5" t="s">
        <v>22</v>
      </c>
      <c r="E3" s="6">
        <v>60</v>
      </c>
      <c r="F3" s="8">
        <f>IF(C3="KONTYNUACJA",1,0+IF(C3="ZROBIONE",1,0))</f>
        <v>0</v>
      </c>
      <c r="I3" s="19"/>
      <c r="J3" s="19"/>
      <c r="K3" s="19"/>
      <c r="L3" s="19"/>
      <c r="M3" s="19"/>
    </row>
    <row r="4" spans="1:13" s="20" customFormat="1" ht="20.25" thickTop="1" thickBot="1" x14ac:dyDescent="0.3">
      <c r="A4" s="2">
        <v>45184</v>
      </c>
      <c r="B4" s="4" t="s">
        <v>16</v>
      </c>
      <c r="C4" s="3" t="s">
        <v>3</v>
      </c>
      <c r="D4" s="5" t="s">
        <v>23</v>
      </c>
      <c r="E4" s="6">
        <v>15</v>
      </c>
      <c r="F4" s="8">
        <f t="shared" ref="F4:F7" si="0">IF(C4="KONTYNUACJA",1,0+IF(C4="ZROBIONE",1,0))</f>
        <v>0</v>
      </c>
      <c r="I4" s="19"/>
      <c r="J4" s="19"/>
      <c r="K4" s="19"/>
      <c r="L4" s="19"/>
      <c r="M4" s="19"/>
    </row>
    <row r="5" spans="1:13" s="20" customFormat="1" ht="20.25" thickTop="1" thickBot="1" x14ac:dyDescent="0.3">
      <c r="A5" s="2">
        <v>45184</v>
      </c>
      <c r="B5" s="4" t="s">
        <v>17</v>
      </c>
      <c r="C5" s="3" t="s">
        <v>5</v>
      </c>
      <c r="D5" s="5" t="s">
        <v>24</v>
      </c>
      <c r="E5" s="6">
        <v>300</v>
      </c>
      <c r="F5" s="8">
        <f t="shared" si="0"/>
        <v>1</v>
      </c>
      <c r="I5" s="19"/>
      <c r="J5" s="19"/>
      <c r="K5" s="19"/>
      <c r="L5" s="19"/>
      <c r="M5" s="19"/>
    </row>
    <row r="6" spans="1:13" s="20" customFormat="1" ht="20.25" thickTop="1" thickBot="1" x14ac:dyDescent="0.3">
      <c r="A6" s="2">
        <v>45184</v>
      </c>
      <c r="B6" s="4" t="s">
        <v>19</v>
      </c>
      <c r="C6" s="3" t="s">
        <v>3</v>
      </c>
      <c r="D6" s="5" t="s">
        <v>25</v>
      </c>
      <c r="E6" s="6">
        <v>45</v>
      </c>
      <c r="F6" s="8">
        <f t="shared" si="0"/>
        <v>0</v>
      </c>
      <c r="I6" s="19"/>
      <c r="J6" s="19"/>
      <c r="K6" s="19"/>
      <c r="L6" s="19"/>
      <c r="M6" s="19"/>
    </row>
    <row r="7" spans="1:13" s="20" customFormat="1" ht="20.25" thickTop="1" thickBot="1" x14ac:dyDescent="0.3">
      <c r="A7" s="2">
        <v>45184</v>
      </c>
      <c r="B7" s="4" t="s">
        <v>20</v>
      </c>
      <c r="C7" s="3" t="s">
        <v>3</v>
      </c>
      <c r="D7" s="5" t="s">
        <v>26</v>
      </c>
      <c r="E7" s="6">
        <v>60</v>
      </c>
      <c r="F7" s="8">
        <f t="shared" si="0"/>
        <v>0</v>
      </c>
      <c r="I7" s="19"/>
      <c r="J7" s="19"/>
      <c r="K7" s="19"/>
      <c r="L7" s="19"/>
      <c r="M7" s="19"/>
    </row>
    <row r="8" spans="1:13" s="20" customFormat="1" ht="43.5" customHeight="1" thickTop="1" thickBot="1" x14ac:dyDescent="0.3">
      <c r="A8" s="15" t="s">
        <v>18</v>
      </c>
      <c r="B8" s="15"/>
      <c r="C8" s="15"/>
      <c r="D8" s="16" t="s">
        <v>28</v>
      </c>
      <c r="E8" s="16"/>
      <c r="F8" s="16"/>
      <c r="I8" s="19"/>
      <c r="J8" s="19"/>
      <c r="K8" s="19"/>
      <c r="L8" s="19"/>
      <c r="M8" s="19"/>
    </row>
    <row r="9" spans="1:13" s="20" customFormat="1" ht="83.25" customHeight="1" thickTop="1" thickBot="1" x14ac:dyDescent="0.3">
      <c r="A9" s="17"/>
      <c r="B9" s="17"/>
      <c r="C9" s="17"/>
      <c r="D9" s="18" t="s">
        <v>14</v>
      </c>
      <c r="E9" s="18"/>
      <c r="F9" s="18"/>
      <c r="I9" s="19"/>
      <c r="J9" s="19"/>
      <c r="K9" s="19"/>
      <c r="L9" s="19"/>
      <c r="M9" s="19"/>
    </row>
    <row r="10" spans="1:13" ht="38.25" customHeight="1" thickTop="1" thickBot="1" x14ac:dyDescent="0.65">
      <c r="A10" s="10" t="s">
        <v>13</v>
      </c>
      <c r="B10" s="11"/>
      <c r="C10" s="9" t="s">
        <v>11</v>
      </c>
      <c r="D10" s="9"/>
      <c r="E10" s="9"/>
      <c r="F10" s="9"/>
    </row>
    <row r="11" spans="1:13" ht="15.75" thickTop="1" x14ac:dyDescent="0.25"/>
    <row r="21" ht="15" customHeight="1" x14ac:dyDescent="0.25"/>
    <row r="22" ht="15" customHeight="1" x14ac:dyDescent="0.25"/>
    <row r="30" ht="19.5" customHeight="1" x14ac:dyDescent="0.25"/>
    <row r="31" ht="15" customHeight="1" x14ac:dyDescent="0.25"/>
  </sheetData>
  <sheetProtection insertRows="0" deleteRows="0"/>
  <mergeCells count="7">
    <mergeCell ref="A10:B10"/>
    <mergeCell ref="A9:C9"/>
    <mergeCell ref="D9:F9"/>
    <mergeCell ref="A8:C8"/>
    <mergeCell ref="D8:F8"/>
    <mergeCell ref="C10:F10"/>
    <mergeCell ref="A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UsunPusteWiersze">
                <anchor moveWithCells="1" sizeWithCells="1">
                  <from>
                    <xdr:col>3</xdr:col>
                    <xdr:colOff>5562600</xdr:colOff>
                    <xdr:row>7</xdr:row>
                    <xdr:rowOff>180975</xdr:rowOff>
                  </from>
                  <to>
                    <xdr:col>3</xdr:col>
                    <xdr:colOff>6419850</xdr:colOff>
                    <xdr:row>7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_xludf.save">
                <anchor moveWithCells="1" sizeWithCells="1">
                  <from>
                    <xdr:col>3</xdr:col>
                    <xdr:colOff>6553200</xdr:colOff>
                    <xdr:row>7</xdr:row>
                    <xdr:rowOff>180975</xdr:rowOff>
                  </from>
                  <to>
                    <xdr:col>4</xdr:col>
                    <xdr:colOff>685800</xdr:colOff>
                    <xdr:row>7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save_and_quit">
                <anchor moveWithCells="1" sizeWithCells="1">
                  <from>
                    <xdr:col>4</xdr:col>
                    <xdr:colOff>828675</xdr:colOff>
                    <xdr:row>7</xdr:row>
                    <xdr:rowOff>180975</xdr:rowOff>
                  </from>
                  <to>
                    <xdr:col>5</xdr:col>
                    <xdr:colOff>733425</xdr:colOff>
                    <xdr:row>7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Insert_Rows_Loop">
                <anchor moveWithCells="1" sizeWithCells="1">
                  <from>
                    <xdr:col>3</xdr:col>
                    <xdr:colOff>4591050</xdr:colOff>
                    <xdr:row>7</xdr:row>
                    <xdr:rowOff>180975</xdr:rowOff>
                  </from>
                  <to>
                    <xdr:col>3</xdr:col>
                    <xdr:colOff>5429250</xdr:colOff>
                    <xdr:row>7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D2A85455-AE56-4C43-A59B-42923EABD9C2}">
            <xm:f>NOT(ISERROR(SEARCH("INNY DZIEŃ",C3)))</xm:f>
            <xm:f>"INNY DZIEŃ"</xm:f>
            <x14:dxf>
              <font>
                <color theme="0"/>
              </font>
              <fill>
                <patternFill>
                  <bgColor rgb="FFD60093"/>
                </patternFill>
              </fill>
            </x14:dxf>
          </x14:cfRule>
          <x14:cfRule type="containsText" priority="4" operator="containsText" id="{298E40FD-DFAD-46C4-9D4C-521A17D7808A}">
            <xm:f>NOT(ISERROR(SEARCH("NIEWYKONANE",C3)))</xm:f>
            <xm:f>"NIEWYKONANE"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14:cfRule type="containsText" priority="5" operator="containsText" id="{A47B64B8-AA92-4EE1-85D9-06E244F7B4D8}">
            <xm:f>NOT(ISERROR(SEARCH("ODŁOŻONE",C3)))</xm:f>
            <xm:f>"ODŁOŻONE"</xm:f>
            <x14:dxf>
              <font>
                <color theme="0"/>
              </font>
              <fill>
                <patternFill>
                  <bgColor theme="7"/>
                </patternFill>
              </fill>
            </x14:dxf>
          </x14:cfRule>
          <x14:cfRule type="containsText" priority="6" operator="containsText" id="{0B413EB7-1667-47EE-AC1E-E01FB2B920F5}">
            <xm:f>NOT(ISERROR(SEARCH("ZROBIONE",C3)))</xm:f>
            <xm:f>"ZROBIONE"</xm:f>
            <x14:dxf>
              <font>
                <color theme="0"/>
              </font>
              <fill>
                <patternFill>
                  <bgColor rgb="FF00B050"/>
                </patternFill>
              </fill>
            </x14:dxf>
          </x14:cfRule>
          <x14:cfRule type="containsText" priority="7" operator="containsText" id="{1D061250-9CE9-44C5-A045-23C5B641110B}">
            <xm:f>NOT(ISERROR(SEARCH("W TRAKCIE",C3)))</xm:f>
            <xm:f>"W TRAKCIE"</xm:f>
            <x14:dxf>
              <font>
                <color theme="0"/>
              </font>
              <fill>
                <patternFill>
                  <bgColor theme="4" tint="-0.499984740745262"/>
                </patternFill>
              </fill>
            </x14:dxf>
          </x14:cfRule>
          <x14:cfRule type="containsText" priority="8" operator="containsText" id="{8A17F512-1578-4B2F-9240-180B5DEBFE71}">
            <xm:f>NOT(ISERROR(SEARCH("OCZEKUJĄCE",C3)))</xm:f>
            <xm:f>"OCZEKUJĄCE"</xm:f>
            <x14:dxf>
              <font>
                <color theme="0"/>
              </font>
              <fill>
                <patternFill>
                  <bgColor theme="5"/>
                </patternFill>
              </fill>
            </x14:dxf>
          </x14:cfRule>
          <x14:cfRule type="containsText" priority="10" operator="containsText" id="{4F48B836-7C12-4F91-A0EE-0BB017CF5F4C}">
            <xm:f>NOT(ISERROR(SEARCH("KONTYNUACJA",C3)))</xm:f>
            <xm:f>"KONTYNUACJA"</xm:f>
            <x14:dxf>
              <font>
                <color theme="0"/>
              </font>
              <numFmt numFmtId="30" formatCode="@"/>
              <fill>
                <patternFill>
                  <bgColor rgb="FF7030A0"/>
                </patternFill>
              </fill>
            </x14:dxf>
          </x14:cfRule>
          <xm:sqref>C3:C7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BŁĄD DANYCH" error="Wprowadzono nieprawidłowy status dla zadania." promptTitle="STATUS ZADANIA" prompt="Wybierz odpowiedni status dla zadania." xr:uid="{73F582AE-0758-4CC9-9B69-AFC99DE87FD8}">
          <x14:formula1>
            <xm:f>USTAWIENIA!$A$1:$A$8</xm:f>
          </x14:formula1>
          <xm:sqref>C3:C7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AB1F-9328-4FB9-8063-51DC8AC4872B}">
  <sheetPr codeName="Arkusz2"/>
  <dimension ref="A1:A8"/>
  <sheetViews>
    <sheetView workbookViewId="0">
      <selection activeCell="H9" sqref="H9"/>
    </sheetView>
  </sheetViews>
  <sheetFormatPr defaultRowHeight="15" x14ac:dyDescent="0.25"/>
  <cols>
    <col min="1" max="1" width="14.7109375" bestFit="1" customWidth="1"/>
  </cols>
  <sheetData>
    <row r="1" spans="1:1" ht="15.75" thickBot="1" x14ac:dyDescent="0.3">
      <c r="A1" s="7"/>
    </row>
    <row r="2" spans="1:1" ht="15.75" thickBot="1" x14ac:dyDescent="0.3">
      <c r="A2" s="7" t="s">
        <v>3</v>
      </c>
    </row>
    <row r="3" spans="1:1" ht="15.75" thickBot="1" x14ac:dyDescent="0.3">
      <c r="A3" s="7" t="s">
        <v>9</v>
      </c>
    </row>
    <row r="4" spans="1:1" ht="15.75" thickBot="1" x14ac:dyDescent="0.3">
      <c r="A4" s="7" t="s">
        <v>4</v>
      </c>
    </row>
    <row r="5" spans="1:1" ht="15.75" thickBot="1" x14ac:dyDescent="0.3">
      <c r="A5" s="7" t="s">
        <v>5</v>
      </c>
    </row>
    <row r="6" spans="1:1" ht="15.75" thickBot="1" x14ac:dyDescent="0.3">
      <c r="A6" s="7" t="s">
        <v>6</v>
      </c>
    </row>
    <row r="7" spans="1:1" ht="15.75" thickBot="1" x14ac:dyDescent="0.3">
      <c r="A7" s="7" t="s">
        <v>7</v>
      </c>
    </row>
    <row r="8" spans="1:1" ht="15.75" thickBot="1" x14ac:dyDescent="0.3">
      <c r="A8" s="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LISTA ZADAŃ</vt:lpstr>
      <vt:lpstr>USTAWIENIA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rekbod</dc:creator>
  <cp:lastModifiedBy>Piotr Bodych</cp:lastModifiedBy>
  <dcterms:created xsi:type="dcterms:W3CDTF">2015-06-05T18:19:34Z</dcterms:created>
  <dcterms:modified xsi:type="dcterms:W3CDTF">2023-09-15T10:10:03Z</dcterms:modified>
</cp:coreProperties>
</file>